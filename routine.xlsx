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 - Upper A" sheetId="1" r:id="rId4"/>
    <sheet state="visible" name="Fri - Lower A" sheetId="2" r:id="rId5"/>
    <sheet state="visible" name="Sat - Upper B" sheetId="3" r:id="rId6"/>
    <sheet state="visible" name="Mon- Lower B" sheetId="4" r:id="rId7"/>
  </sheets>
  <definedNames/>
  <calcPr/>
  <extLst>
    <ext uri="GoogleSheetsCustomDataVersion2">
      <go:sheetsCustomData xmlns:go="http://customooxmlschemas.google.com/" r:id="rId8" roundtripDataChecksum="XqBJc346akpZHQsn7d7Qi4OdCjWQy6mAbSOxgU++EQI="/>
    </ext>
  </extLst>
</workbook>
</file>

<file path=xl/sharedStrings.xml><?xml version="1.0" encoding="utf-8"?>
<sst xmlns="http://schemas.openxmlformats.org/spreadsheetml/2006/main" count="142" uniqueCount="87">
  <si>
    <t>Exercise</t>
  </si>
  <si>
    <t>Sets</t>
  </si>
  <si>
    <t>Reps</t>
  </si>
  <si>
    <t>Starting Weight</t>
  </si>
  <si>
    <t>Rest</t>
  </si>
  <si>
    <t>Notes &amp; Gym Setup</t>
  </si>
  <si>
    <t>Video Tutorial</t>
  </si>
  <si>
    <t>Hack Squat (or 45° Leg Press)</t>
  </si>
  <si>
    <t>Converging Machine Chest Press</t>
  </si>
  <si>
    <t>6–9</t>
  </si>
  <si>
    <t>6–10</t>
  </si>
  <si>
    <t>100–120 lbs</t>
  </si>
  <si>
    <t>2–3 min</t>
  </si>
  <si>
    <t>2.5–3 min</t>
  </si>
  <si>
    <t>Feet mid-to-low and shoulder-width; descend to deep knee bend; keep lower back/glutes glued to pad.</t>
  </si>
  <si>
    <t>Seat height so handles align with mid-chest; elbows at 45–60°; 2–3s negative.</t>
  </si>
  <si>
    <t>Smith Machine Incline Press (30°)</t>
  </si>
  <si>
    <t>Smith Machine Romanian Deadlift (RDL)</t>
  </si>
  <si>
    <t>8–10</t>
  </si>
  <si>
    <t>Bar + 50–70 lbs</t>
  </si>
  <si>
    <t>Bar + 70–90 lbs</t>
  </si>
  <si>
    <t>Set safety stops at mid-shin; soft knee bend; push hips back toward wall; bar grazes shins.</t>
  </si>
  <si>
    <t>Bench at ~30°; bar lowers directly to clavicle/upper chest; tuck elbows 45°; 2–3s descent.</t>
  </si>
  <si>
    <t>Neutral-Grip Lat Pulldown</t>
  </si>
  <si>
    <t>Leg Extension</t>
  </si>
  <si>
    <t>8–11</t>
  </si>
  <si>
    <t>110–130 lbs</t>
  </si>
  <si>
    <t>10–14</t>
  </si>
  <si>
    <t>80–100 lbs</t>
  </si>
  <si>
    <t>Clamp thigh pads down tightly to brace your frame; let lats stretch fully at the top.</t>
  </si>
  <si>
    <t>90 sec–2 min</t>
  </si>
  <si>
    <t>Slide backrest fully back to align knee joint with machine pivot; hold 1s squeeze at top.</t>
  </si>
  <si>
    <t>Horizontal Leg Press</t>
  </si>
  <si>
    <t>10–12</t>
  </si>
  <si>
    <t>180–230 lbs</t>
  </si>
  <si>
    <t>2 min</t>
  </si>
  <si>
    <t>Feet placed high on platform; bring knees deep toward chest to load glutes and hamstrings.</t>
  </si>
  <si>
    <t>Half-Kneeling Single-Arm Pulldown</t>
  </si>
  <si>
    <t>8–12</t>
  </si>
  <si>
    <t>Seated Leg Curl</t>
  </si>
  <si>
    <t>Chest-Supported Machine Row</t>
  </si>
  <si>
    <t>90–110 lbs</t>
  </si>
  <si>
    <t>Clamp thigh pad down firmly; lean torso slightly forward; slow 3s eccentric stretch.</t>
  </si>
  <si>
    <t>Lying Leg Curl</t>
  </si>
  <si>
    <t>Adjust chest pad forward so arms fully extend; flare elbows 45–60° for upper back and rear delts.</t>
  </si>
  <si>
    <t>70–90 lbs</t>
  </si>
  <si>
    <t>40–55 lbs</t>
  </si>
  <si>
    <t>90 sec</t>
  </si>
  <si>
    <t>Set pulley high; kneel on mat; drive elbow straight down to hip pocket for pure lat focus.</t>
  </si>
  <si>
    <t>Keep hips pinned flat into the pad; avoid hyperextending lower back; control the negative.</t>
  </si>
  <si>
    <t>Standing / Leg Press Calf Raise</t>
  </si>
  <si>
    <t>Cable Lateral Raise</t>
  </si>
  <si>
    <t>10–15</t>
  </si>
  <si>
    <t>12–15</t>
  </si>
  <si>
    <t>120–150 lbs</t>
  </si>
  <si>
    <t>10–15 lbs</t>
  </si>
  <si>
    <t>60–90 sec</t>
  </si>
  <si>
    <t>Set pulley to wrist height; stand slightly sideways; lead with your elbows to isolate side delts.</t>
  </si>
  <si>
    <t>Full 2-second dead pause at bottom stretch to eliminate Achilles elastic rebound.</t>
  </si>
  <si>
    <t>Machine Hip Adduction</t>
  </si>
  <si>
    <t>Machine Overhead Shoulder Press</t>
  </si>
  <si>
    <t>80–110 lbs</t>
  </si>
  <si>
    <t>Wide, comfortable inner thigh stretch; smooth, controlled contraction without slamming plates.</t>
  </si>
  <si>
    <t>Kneeling Cable Crunch</t>
  </si>
  <si>
    <t>Triceps Rope Pushdown</t>
  </si>
  <si>
    <t>Set seat low so handles start level with ears; drive straight up without hyper-arching lower back.</t>
  </si>
  <si>
    <t>60–80 lbs</t>
  </si>
  <si>
    <t>60 sec</t>
  </si>
  <si>
    <t>Anchor hips in place; actively round ribcage down into your pelvis like rolling up a mat.</t>
  </si>
  <si>
    <t>40–50 lbs</t>
  </si>
  <si>
    <t>Leg Press Calf Press</t>
  </si>
  <si>
    <t>Lock elbows against ribs; spread rope apart firmly at bottom contraction.</t>
  </si>
  <si>
    <t>140–180 lbs</t>
  </si>
  <si>
    <t>Balls of feet on lower edge; achieve full ankle flexion stretch with a 2-second dead stop.</t>
  </si>
  <si>
    <t>Cable Biceps Curl</t>
  </si>
  <si>
    <t>Machine Pec Deck Flye</t>
  </si>
  <si>
    <t>Captain's Chair Knee Raise</t>
  </si>
  <si>
    <t>Straight bar or EZ-attachment; elbows held slightly forward of hips; full extension at bottom.</t>
  </si>
  <si>
    <t>Soft bend in elbows; squeeze chest together without shrugging shoulders forward; deep stretch.</t>
  </si>
  <si>
    <t>Bodyweight</t>
  </si>
  <si>
    <t>Forearms locked on pads; pull knees up while actively rolling pelvis toward your chest.</t>
  </si>
  <si>
    <t>Overhead Cable Triceps Extension</t>
  </si>
  <si>
    <t>35–45 lbs</t>
  </si>
  <si>
    <t>Top cable setting; face away from stack; stretch long head of triceps fully behind neck.</t>
  </si>
  <si>
    <t>Incline / Bayonet Cable Curl</t>
  </si>
  <si>
    <t>25–35 lbs</t>
  </si>
  <si>
    <t>Pulley at mid-height; step forward so cables pull arms behind torso for deep lengthened stretch.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</si>
</sst>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8.0"/>
    <col customWidth="1" min="3" max="3" width="10.0"/>
    <col customWidth="1" min="4" max="4" width="18.0"/>
    <col customWidth="1" min="5" max="5" width="14.0"/>
    <col customWidth="1" min="6" max="6" width="55.0"/>
    <col customWidth="1" min="7" max="26" width="8.71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ht="27.75" customHeight="1">
      <c r="A2" s="4" t="s">
        <v>8</v>
      </c>
      <c r="B2" s="5">
        <v>3.0</v>
      </c>
      <c r="C2" s="5" t="s">
        <v>9</v>
      </c>
      <c r="D2" s="5" t="s">
        <v>11</v>
      </c>
      <c r="E2" s="5" t="s">
        <v>12</v>
      </c>
      <c r="F2" s="6" t="s">
        <v>15</v>
      </c>
      <c r="G2" s="7" t="str">
        <f>HYPERLINK("https://www.youtube.com/results?search_query=Jeff+Nippard+machine+chest+press+technique", "Watch Video")</f>
        <v>Watch Video</v>
      </c>
    </row>
    <row r="3" ht="27.75" customHeight="1">
      <c r="A3" s="4" t="s">
        <v>23</v>
      </c>
      <c r="B3" s="5">
        <v>3.0</v>
      </c>
      <c r="C3" s="5" t="s">
        <v>25</v>
      </c>
      <c r="D3" s="5" t="s">
        <v>26</v>
      </c>
      <c r="E3" s="5" t="s">
        <v>12</v>
      </c>
      <c r="F3" s="6" t="s">
        <v>29</v>
      </c>
      <c r="G3" s="7" t="str">
        <f>HYPERLINK("https://www.youtube.com/results?search_query=Jeff+Nippard+lat+pulldown+technique", "Watch Video")</f>
        <v>Watch Video</v>
      </c>
    </row>
    <row r="4" ht="27.75" customHeight="1">
      <c r="A4" s="4" t="s">
        <v>40</v>
      </c>
      <c r="B4" s="5">
        <v>3.0</v>
      </c>
      <c r="C4" s="5" t="s">
        <v>38</v>
      </c>
      <c r="D4" s="5" t="s">
        <v>41</v>
      </c>
      <c r="E4" s="5" t="s">
        <v>35</v>
      </c>
      <c r="F4" s="6" t="s">
        <v>44</v>
      </c>
      <c r="G4" s="7" t="str">
        <f>HYPERLINK("https://www.youtube.com/results?search_query=Jeff+Nippard+chest+supported+row+technique", "Watch Video")</f>
        <v>Watch Video</v>
      </c>
    </row>
    <row r="5" ht="27.75" customHeight="1">
      <c r="A5" s="4" t="s">
        <v>51</v>
      </c>
      <c r="B5" s="5">
        <v>3.0</v>
      </c>
      <c r="C5" s="5" t="s">
        <v>53</v>
      </c>
      <c r="D5" s="5" t="s">
        <v>55</v>
      </c>
      <c r="E5" s="5" t="s">
        <v>56</v>
      </c>
      <c r="F5" s="6" t="s">
        <v>57</v>
      </c>
      <c r="G5" s="7" t="str">
        <f>HYPERLINK("https://www.youtube.com/results?search_query=Jeff+Nippard+cable+lateral+raise", "Watch Video")</f>
        <v>Watch Video</v>
      </c>
    </row>
    <row r="6" ht="27.75" customHeight="1">
      <c r="A6" s="4" t="s">
        <v>64</v>
      </c>
      <c r="B6" s="5">
        <v>3.0</v>
      </c>
      <c r="C6" s="5" t="s">
        <v>33</v>
      </c>
      <c r="D6" s="5" t="s">
        <v>69</v>
      </c>
      <c r="E6" s="5" t="s">
        <v>56</v>
      </c>
      <c r="F6" s="6" t="s">
        <v>71</v>
      </c>
      <c r="G6" s="7" t="str">
        <f>HYPERLINK("https://www.youtube.com/results?search_query=Jeff+Nippard+tricep+pushdown+technique", "Watch Video")</f>
        <v>Watch Video</v>
      </c>
    </row>
    <row r="7" ht="27.75" customHeight="1">
      <c r="A7" s="4" t="s">
        <v>74</v>
      </c>
      <c r="B7" s="5">
        <v>3.0</v>
      </c>
      <c r="C7" s="5" t="s">
        <v>33</v>
      </c>
      <c r="D7" s="5" t="s">
        <v>69</v>
      </c>
      <c r="E7" s="5" t="s">
        <v>56</v>
      </c>
      <c r="F7" s="6" t="s">
        <v>77</v>
      </c>
      <c r="G7" s="7" t="str">
        <f>HYPERLINK("https://www.youtube.com/results?search_query=Jeff+Nippard+cable+bicep+curl", "Watch Video")</f>
        <v>Watch Video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8.0"/>
    <col customWidth="1" min="3" max="3" width="10.0"/>
    <col customWidth="1" min="4" max="4" width="18.0"/>
    <col customWidth="1" min="5" max="5" width="14.0"/>
    <col customWidth="1" min="6" max="6" width="55.0"/>
    <col customWidth="1" min="7" max="26" width="8.71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ht="27.75" customHeight="1">
      <c r="A2" s="4" t="s">
        <v>7</v>
      </c>
      <c r="B2" s="5">
        <v>3.0</v>
      </c>
      <c r="C2" s="5" t="s">
        <v>10</v>
      </c>
      <c r="D2" s="5">
        <v>140.0</v>
      </c>
      <c r="E2" s="5" t="s">
        <v>13</v>
      </c>
      <c r="F2" s="6" t="s">
        <v>14</v>
      </c>
      <c r="G2" s="7" t="str">
        <f>HYPERLINK("https://www.youtube.com/results?search_query=Jeff+Nippard+hack+squat+technique", "Watch Video")</f>
        <v>Watch Video</v>
      </c>
    </row>
    <row r="3" ht="27.75" customHeight="1">
      <c r="A3" s="4" t="s">
        <v>24</v>
      </c>
      <c r="B3" s="5">
        <v>3.0</v>
      </c>
      <c r="C3" s="5" t="s">
        <v>27</v>
      </c>
      <c r="D3" s="5" t="s">
        <v>28</v>
      </c>
      <c r="E3" s="5" t="s">
        <v>30</v>
      </c>
      <c r="F3" s="6" t="s">
        <v>31</v>
      </c>
      <c r="G3" s="7" t="str">
        <f>HYPERLINK("https://www.youtube.com/results?search_query=Jeff+Nippard+leg+extension+technique", "Watch Video")</f>
        <v>Watch Video</v>
      </c>
    </row>
    <row r="4" ht="27.75" customHeight="1">
      <c r="A4" s="4" t="s">
        <v>39</v>
      </c>
      <c r="B4" s="5">
        <v>3.0</v>
      </c>
      <c r="C4" s="5" t="s">
        <v>38</v>
      </c>
      <c r="D4" s="5" t="s">
        <v>28</v>
      </c>
      <c r="E4" s="5" t="s">
        <v>35</v>
      </c>
      <c r="F4" s="6" t="s">
        <v>42</v>
      </c>
      <c r="G4" s="7" t="str">
        <f>HYPERLINK("https://www.youtube.com/results?search_query=Jeff+Nippard+seated+leg+curl", "Watch Video")</f>
        <v>Watch Video</v>
      </c>
    </row>
    <row r="5" ht="27.75" customHeight="1">
      <c r="A5" s="4" t="s">
        <v>50</v>
      </c>
      <c r="B5" s="5">
        <v>3.0</v>
      </c>
      <c r="C5" s="5" t="s">
        <v>52</v>
      </c>
      <c r="D5" s="5" t="s">
        <v>54</v>
      </c>
      <c r="E5" s="5" t="s">
        <v>56</v>
      </c>
      <c r="F5" s="6" t="s">
        <v>58</v>
      </c>
      <c r="G5" s="7" t="str">
        <f>HYPERLINK("https://www.youtube.com/results?search_query=Jeff+Nippard+calf+raise+technique", "Watch Video")</f>
        <v>Watch Video</v>
      </c>
    </row>
    <row r="6" ht="27.75" customHeight="1">
      <c r="A6" s="4" t="s">
        <v>63</v>
      </c>
      <c r="B6" s="5">
        <v>3.0</v>
      </c>
      <c r="C6" s="5" t="s">
        <v>53</v>
      </c>
      <c r="D6" s="5" t="s">
        <v>66</v>
      </c>
      <c r="E6" s="5" t="s">
        <v>67</v>
      </c>
      <c r="F6" s="6" t="s">
        <v>68</v>
      </c>
      <c r="G6" s="7" t="str">
        <f>HYPERLINK("https://www.youtube.com/results?search_query=Jeff+Nippard+cable+crunch+technique", "Watch Video")</f>
        <v>Watch Video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8.0"/>
    <col customWidth="1" min="3" max="3" width="10.0"/>
    <col customWidth="1" min="4" max="4" width="18.0"/>
    <col customWidth="1" min="5" max="5" width="14.0"/>
    <col customWidth="1" min="6" max="6" width="55.0"/>
    <col customWidth="1" min="7" max="26" width="8.71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ht="27.75" customHeight="1">
      <c r="A2" s="4" t="s">
        <v>16</v>
      </c>
      <c r="B2" s="5">
        <v>3.0</v>
      </c>
      <c r="C2" s="5" t="s">
        <v>10</v>
      </c>
      <c r="D2" s="5" t="s">
        <v>19</v>
      </c>
      <c r="E2" s="5" t="s">
        <v>12</v>
      </c>
      <c r="F2" s="6" t="s">
        <v>22</v>
      </c>
      <c r="G2" s="7" t="str">
        <f>HYPERLINK("https://www.youtube.com/results?search_query=Jeff+Nippard+smith+machine+incline+press", "Watch Video")</f>
        <v>Watch Video</v>
      </c>
    </row>
    <row r="3" ht="27.75" customHeight="1">
      <c r="A3" s="4" t="s">
        <v>37</v>
      </c>
      <c r="B3" s="5">
        <v>3.0</v>
      </c>
      <c r="C3" s="5" t="s">
        <v>38</v>
      </c>
      <c r="D3" s="5" t="s">
        <v>46</v>
      </c>
      <c r="E3" s="5" t="s">
        <v>47</v>
      </c>
      <c r="F3" s="6" t="s">
        <v>48</v>
      </c>
      <c r="G3" s="7" t="str">
        <f>HYPERLINK("https://www.youtube.com/results?search_query=Jeff+Nippard+single+arm+lat+pulldown", "Watch Video")</f>
        <v>Watch Video</v>
      </c>
    </row>
    <row r="4" ht="27.75" customHeight="1">
      <c r="A4" s="4" t="s">
        <v>60</v>
      </c>
      <c r="B4" s="5">
        <v>3.0</v>
      </c>
      <c r="C4" s="5" t="s">
        <v>18</v>
      </c>
      <c r="D4" s="5" t="s">
        <v>45</v>
      </c>
      <c r="E4" s="5" t="s">
        <v>12</v>
      </c>
      <c r="F4" s="6" t="s">
        <v>65</v>
      </c>
      <c r="G4" s="7" t="str">
        <f>HYPERLINK("https://www.youtube.com/results?search_query=Jeff+Nippard+shoulder+press+technique", "Watch Video")</f>
        <v>Watch Video</v>
      </c>
    </row>
    <row r="5" ht="27.75" customHeight="1">
      <c r="A5" s="4" t="s">
        <v>75</v>
      </c>
      <c r="B5" s="5">
        <v>2.0</v>
      </c>
      <c r="C5" s="5" t="s">
        <v>27</v>
      </c>
      <c r="D5" s="5" t="s">
        <v>45</v>
      </c>
      <c r="E5" s="5" t="s">
        <v>47</v>
      </c>
      <c r="F5" s="6" t="s">
        <v>78</v>
      </c>
      <c r="G5" s="7" t="str">
        <f>HYPERLINK("https://www.youtube.com/results?search_query=Jeff+Nippard+chest+flye+pec+deck", "Watch Video")</f>
        <v>Watch Video</v>
      </c>
    </row>
    <row r="6" ht="27.75" customHeight="1">
      <c r="A6" s="4" t="s">
        <v>81</v>
      </c>
      <c r="B6" s="5">
        <v>3.0</v>
      </c>
      <c r="C6" s="5" t="s">
        <v>27</v>
      </c>
      <c r="D6" s="5" t="s">
        <v>82</v>
      </c>
      <c r="E6" s="5" t="s">
        <v>56</v>
      </c>
      <c r="F6" s="6" t="s">
        <v>83</v>
      </c>
      <c r="G6" s="7" t="str">
        <f>HYPERLINK("https://www.youtube.com/results?search_query=Jeff+Nippard+overhead+cable+tricep+extension", "Watch Video")</f>
        <v>Watch Video</v>
      </c>
    </row>
    <row r="7" ht="27.75" customHeight="1">
      <c r="A7" s="4" t="s">
        <v>84</v>
      </c>
      <c r="B7" s="5">
        <v>3.0</v>
      </c>
      <c r="C7" s="5" t="s">
        <v>33</v>
      </c>
      <c r="D7" s="5" t="s">
        <v>85</v>
      </c>
      <c r="E7" s="5" t="s">
        <v>56</v>
      </c>
      <c r="F7" s="6" t="s">
        <v>86</v>
      </c>
      <c r="G7" s="7" t="str">
        <f>HYPERLINK("https://www.youtube.com/results?search_query=Jeff+Nippard+behind+the+back+cable+curl", "Watch Video")</f>
        <v>Watch Video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8.0"/>
    <col customWidth="1" min="3" max="3" width="10.0"/>
    <col customWidth="1" min="4" max="4" width="18.0"/>
    <col customWidth="1" min="5" max="5" width="14.0"/>
    <col customWidth="1" min="6" max="6" width="55.0"/>
    <col customWidth="1" min="7" max="26" width="8.71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ht="27.75" customHeight="1">
      <c r="A2" s="4" t="s">
        <v>17</v>
      </c>
      <c r="B2" s="5">
        <v>3.0</v>
      </c>
      <c r="C2" s="5" t="s">
        <v>18</v>
      </c>
      <c r="D2" s="5" t="s">
        <v>20</v>
      </c>
      <c r="E2" s="5" t="s">
        <v>13</v>
      </c>
      <c r="F2" s="6" t="s">
        <v>21</v>
      </c>
      <c r="G2" s="7" t="str">
        <f>HYPERLINK("https://www.youtube.com/results?search_query=Jeff+Nippard+smith+machine+rdl", "Watch Video")</f>
        <v>Watch Video</v>
      </c>
    </row>
    <row r="3" ht="27.75" customHeight="1">
      <c r="A3" s="4" t="s">
        <v>32</v>
      </c>
      <c r="B3" s="5">
        <v>3.0</v>
      </c>
      <c r="C3" s="5" t="s">
        <v>33</v>
      </c>
      <c r="D3" s="5" t="s">
        <v>34</v>
      </c>
      <c r="E3" s="5" t="s">
        <v>35</v>
      </c>
      <c r="F3" s="6" t="s">
        <v>36</v>
      </c>
      <c r="G3" s="7" t="str">
        <f>HYPERLINK("https://www.youtube.com/results?search_query=Jeff+Nippard+leg+press+technique", "Watch Video")</f>
        <v>Watch Video</v>
      </c>
    </row>
    <row r="4" ht="27.75" customHeight="1">
      <c r="A4" s="4" t="s">
        <v>43</v>
      </c>
      <c r="B4" s="5">
        <v>3.0</v>
      </c>
      <c r="C4" s="5" t="s">
        <v>33</v>
      </c>
      <c r="D4" s="5" t="s">
        <v>45</v>
      </c>
      <c r="E4" s="5" t="s">
        <v>47</v>
      </c>
      <c r="F4" s="6" t="s">
        <v>49</v>
      </c>
      <c r="G4" s="7" t="str">
        <f>HYPERLINK("https://www.youtube.com/results?search_query=Jeff+Nippard+lying+leg+curl", "Watch Video")</f>
        <v>Watch Video</v>
      </c>
    </row>
    <row r="5" ht="27.75" customHeight="1">
      <c r="A5" s="4" t="s">
        <v>59</v>
      </c>
      <c r="B5" s="5">
        <v>2.0</v>
      </c>
      <c r="C5" s="5" t="s">
        <v>53</v>
      </c>
      <c r="D5" s="5" t="s">
        <v>61</v>
      </c>
      <c r="E5" s="5" t="s">
        <v>56</v>
      </c>
      <c r="F5" s="6" t="s">
        <v>62</v>
      </c>
      <c r="G5" s="7" t="str">
        <f>HYPERLINK("https://www.youtube.com/results?search_query=Renaissance+Periodization+hip+adduction+machine", "Watch Video")</f>
        <v>Watch Video</v>
      </c>
    </row>
    <row r="6" ht="27.75" customHeight="1">
      <c r="A6" s="4" t="s">
        <v>70</v>
      </c>
      <c r="B6" s="5">
        <v>3.0</v>
      </c>
      <c r="C6" s="5" t="s">
        <v>33</v>
      </c>
      <c r="D6" s="5" t="s">
        <v>72</v>
      </c>
      <c r="E6" s="5" t="s">
        <v>56</v>
      </c>
      <c r="F6" s="6" t="s">
        <v>73</v>
      </c>
      <c r="G6" s="7" t="str">
        <f>HYPERLINK("https://www.youtube.com/results?search_query=Jeff+Nippard+calf+press+leg+press", "Watch Video")</f>
        <v>Watch Video</v>
      </c>
    </row>
    <row r="7" ht="27.75" customHeight="1">
      <c r="A7" s="4" t="s">
        <v>76</v>
      </c>
      <c r="B7" s="5">
        <v>3.0</v>
      </c>
      <c r="C7" s="5" t="s">
        <v>33</v>
      </c>
      <c r="D7" s="5" t="s">
        <v>79</v>
      </c>
      <c r="E7" s="5" t="s">
        <v>67</v>
      </c>
      <c r="F7" s="6" t="s">
        <v>80</v>
      </c>
      <c r="G7" s="7" t="str">
        <f>HYPERLINK("https://www.youtube.com/results?search_query=Jeff+Nippard+hanging+knee+raise+technique", "Watch Video")</f>
        <v>Watch Video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2026-09-15T02:44:12Z</dcterms:created>
  <dc:creator>openpyxl</dc:creator>
</cp:coreProperties>
</file>